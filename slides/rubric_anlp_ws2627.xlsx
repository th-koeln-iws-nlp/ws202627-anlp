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mc:AlternateContent xmlns:mc="http://schemas.openxmlformats.org/markup-compatibility/2006">
    <mc:Choice Requires="x15">
      <x15ac:absPath xmlns:x15ac="http://schemas.microsoft.com/office/spreadsheetml/2010/11/ac" url="/Users/richard/Lehre/anlp_ws202627/grading/"/>
    </mc:Choice>
  </mc:AlternateContent>
  <xr:revisionPtr revIDLastSave="0" documentId="13_ncr:1_{56558BA3-84B3-904C-A375-31570C8A8C77}" xr6:coauthVersionLast="47" xr6:coauthVersionMax="47" xr10:uidLastSave="{00000000-0000-0000-0000-000000000000}"/>
  <bookViews>
    <workbookView xWindow="70400" yWindow="500" windowWidth="34400" windowHeight="28300" tabRatio="500" xr2:uid="{00000000-000D-0000-FFFF-FFFF00000000}"/>
  </bookViews>
  <sheets>
    <sheet name="Rubric" sheetId="1" r:id="rId1"/>
    <sheet name="Grade Key" sheetId="2" r:id="rId2"/>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E13" i="2" l="1"/>
  <c r="C13" i="2"/>
  <c r="E12" i="2"/>
  <c r="C12" i="2"/>
  <c r="E11" i="2"/>
  <c r="C11" i="2"/>
  <c r="E10" i="2"/>
  <c r="C10" i="2"/>
  <c r="E9" i="2"/>
  <c r="C9" i="2"/>
  <c r="E8" i="2"/>
  <c r="C8" i="2"/>
  <c r="E7" i="2"/>
  <c r="C7" i="2"/>
  <c r="E6" i="2"/>
  <c r="C6" i="2"/>
  <c r="E5" i="2"/>
  <c r="C5" i="2"/>
  <c r="E4" i="2"/>
  <c r="C4" i="2"/>
  <c r="E3" i="2"/>
  <c r="C3" i="2"/>
  <c r="B18" i="1"/>
  <c r="I17" i="1"/>
  <c r="I16" i="1"/>
  <c r="I15" i="1"/>
  <c r="I14" i="1"/>
  <c r="I12" i="1"/>
  <c r="I11" i="1"/>
  <c r="I10" i="1"/>
  <c r="I9" i="1"/>
  <c r="I18" i="1" s="1"/>
  <c r="I19" i="1" s="1"/>
  <c r="I20" i="1" l="1"/>
  <c r="I21" i="1"/>
</calcChain>
</file>

<file path=xl/sharedStrings.xml><?xml version="1.0" encoding="utf-8"?>
<sst xmlns="http://schemas.openxmlformats.org/spreadsheetml/2006/main" count="88" uniqueCount="76">
  <si>
    <t>Assessment Form — Advanced NLP (ANLP), Block Course, Winter Term 2026/27</t>
  </si>
  <si>
    <t>Component:</t>
  </si>
  <si>
    <t>Criterion</t>
  </si>
  <si>
    <t>Weight</t>
  </si>
  <si>
    <t>Scope</t>
  </si>
  <si>
    <t>5–6 points (exceeds expectations)</t>
  </si>
  <si>
    <t>3–4 points (meets expectations)</t>
  </si>
  <si>
    <t>1–2 points (substantial shortcomings)</t>
  </si>
  <si>
    <t>0 points (inadequate)</t>
  </si>
  <si>
    <t>Points (0–6)</t>
  </si>
  <si>
    <t>Weighted contribution</t>
  </si>
  <si>
    <t>Notes / justification</t>
  </si>
  <si>
    <t>Part 1 — Presentation, 15 October 2026 (60% of the module grade)</t>
  </si>
  <si>
    <t>Understanding of the component</t>
  </si>
  <si>
    <t>individual</t>
  </si>
  <si>
    <t>Explains unprompted what the component changes in the GPT-2 baseline and why it was introduced. Situates it against the alternatives (why this rather than what it replaced) and names its costs as well as its benefits. Answers precise questions about their own implementation without having to search for it.</t>
  </si>
  <si>
    <t>Explains the component correctly and can point to it in the code. The motivation is given but stays close to the source paper's framing. Details emerge when prompted.</t>
  </si>
  <si>
    <t>Describes the component only at summary level; cannot say what it replaces or why it exists. Struggles to locate or explain their own implementation.</t>
  </si>
  <si>
    <t>Cannot explain what the component does. No evidence of having worked on it.</t>
  </si>
  <si>
    <t>Experimental rigour</t>
  </si>
  <si>
    <t>pair</t>
  </si>
  <si>
    <t>Baseline run at several seeds before any claim is made, and the noise floor stated as a number. Seed, step count, data and configuration held fixed; exactly one thing changed. Any deviation from the shared setup is named and justified.</t>
  </si>
  <si>
    <t>Controlled comparison against the baseline with fixed steps and seed. The noise floor is acknowledged but measured thinly or established late. One run per condition.</t>
  </si>
  <si>
    <t>Single run against a baseline that differs in more than the component. Seeds or step counts not held constant. The setup could not be reproduced from what is shown.</t>
  </si>
  <si>
    <t>No comparison against a baseline, or the experiment does not isolate the component at all.</t>
  </si>
  <si>
    <t>Interpretation of results</t>
  </si>
  <si>
    <t>States what the measurement does and does not support. An effect smaller than the noise floor is reported as inconclusive rather than as a win; a clearly explained negative or inconclusive result belongs in this band. Knows that a result at this scale need not transfer, and says so. Can name what would settle the question.</t>
  </si>
  <si>
    <t>Reports the result correctly and draws a defensible conclusion. Limitations are acknowledged when asked rather than volunteered.</t>
  </si>
  <si>
    <t>Claims an effect the data does not support, or reads a difference smaller than the run-to-run spread as a finding. Treats 'our loss went down' as 'this component helps'.</t>
  </si>
  <si>
    <t>No interpretation offered, or the conclusion contradicts the numbers presented.</t>
  </si>
  <si>
    <t>Presentation and delivery</t>
  </si>
  <si>
    <t>A clear line from what the component is, through what was measured, to what follows. Both partners speak and both are across the whole work. Timing held. Notebooks and training logs are open and navigable when questions come.</t>
  </si>
  <si>
    <t>Comprehensible structure, both partners contribute, timing within a minute or two. Some reliance on notes. Material can be found with a little searching.</t>
  </si>
  <si>
    <t>Hard to follow, or one partner carries the talk. Timing missed by more than three minutes. Code and results not ready to show.</t>
  </si>
  <si>
    <t>Incoherent or not delivered. Nothing to demonstrate.</t>
  </si>
  <si>
    <t>Part 2 — Report and repository, due 21 October 2026 (40% of the module grade)</t>
  </si>
  <si>
    <t>Method and results</t>
  </si>
  <si>
    <t>Implementation and experimental setup described precisely enough to reproduce. Results shown with loss curves and per-seed numbers, not only a final figure.</t>
  </si>
  <si>
    <t>Method and results clear in the essentials; a reader could largely repeat the work. Curves present, some details of the setup left out.</t>
  </si>
  <si>
    <t>Description vague or incomplete; results reported as bare numbers without curves or spread. Reproduction would require guessing.</t>
  </si>
  <si>
    <t>No usable description of what was done or what came out of it.</t>
  </si>
  <si>
    <t>Discussion, limitations and what failed</t>
  </si>
  <si>
    <t>Results interpreted against the noise floor and the scale of the experiment. The account of what did not work is specific and instructive: what was tried, what happened, what was concluded. Limitations are owned rather than hedged.</t>
  </si>
  <si>
    <t>Sound discussion of the results with the main limitations named. The failure section is present but thin or generic.</t>
  </si>
  <si>
    <t>Discussion restates the results without interpreting them. Failures glossed over or omitted. Limitations mentioned as a formality.</t>
  </si>
  <si>
    <t>No discussion, and no account of anything that did not work.</t>
  </si>
  <si>
    <t>Code and reproducibility</t>
  </si>
  <si>
    <t>Repository runs from a clean checkout. The component sits where the starter file intended and the shape test passes. Training configuration and seeds are recorded alongside the results. Commit history shows both partners.</t>
  </si>
  <si>
    <t>Code runs with minor fixing. Structure is followable, configuration mostly recorded.</t>
  </si>
  <si>
    <t>Code does not run without substantial repair, or the reported results cannot be traced to anything in the repository.</t>
  </si>
  <si>
    <t>No usable code, or nothing corresponding to the reported work.</t>
  </si>
  <si>
    <t>Form</t>
  </si>
  <si>
    <t>Within four pages, clearly structured, figures readable and labelled. AI-use appendix present and specific about what was used, for what, and what was changed afterwards.</t>
  </si>
  <si>
    <t>Structure and language sound, minor issues with figures or length. AI-use appendix present but general.</t>
  </si>
  <si>
    <t>Over length, poorly structured or hard to read. A missing or one-line AI-use appendix caps this criterion at 2 points.</t>
  </si>
  <si>
    <t>Not submitted in a usable form.</t>
  </si>
  <si>
    <t>Total (weights must add up to 100%)</t>
  </si>
  <si>
    <t>Overall result:</t>
  </si>
  <si>
    <t>Weighted avg. points:</t>
  </si>
  <si>
    <t>Grade:</t>
  </si>
  <si>
    <t>Point range of the grade:</t>
  </si>
  <si>
    <t>Fill in only the shaded Points (0–6) column. Scope 'individual' is scored for this student alone; scope 'pair' is scored once for the pair and entered identically on both forms. Half points are not used. The ablation result itself is not graded: a clearly explained negative or inconclusive finding can reach the top band.</t>
  </si>
  <si>
    <t>Mapping of avg. points to grade (uniform 0.3 steps: avg 2.8 = 4.0 to avg 5.5 = 1.0)</t>
  </si>
  <si>
    <t>from avg. points (weighted)</t>
  </si>
  <si>
    <t>Grade</t>
  </si>
  <si>
    <t>corresponds to overall result</t>
  </si>
  <si>
    <t>Designation</t>
  </si>
  <si>
    <t>Point range</t>
  </si>
  <si>
    <t>fail (nicht bestanden)</t>
  </si>
  <si>
    <t>sufficient (ausreichend)</t>
  </si>
  <si>
    <t>satisfactory (befriedigend)</t>
  </si>
  <si>
    <t>good (gut)</t>
  </si>
  <si>
    <t>very good (sehr gut)</t>
  </si>
  <si>
    <t>Thresholds in weighted avg. points (0–6) in uniform 0.3 steps: below avg 2.8 fail, from avg 5.5 grade 1.0. Identical to the key used for thesis and defence assessments.</t>
  </si>
  <si>
    <t>Student 1 name:</t>
  </si>
  <si>
    <t>Student 2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</si>
</sst>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8" x14ac:knownFonts="1">
    <font>
      <sz val="11"/>
      <color theme="1"/>
      <name val="Calibri"/>
      <family val="2"/>
      <charset val="1"/>
    </font>
    <font>
      <b/>
      <sz val="14"/>
      <name val="Arial"/>
      <family val="2"/>
    </font>
    <font>
      <b/>
      <sz val="10"/>
      <name val="Arial"/>
      <family val="2"/>
    </font>
    <font>
      <b/>
      <sz val="10"/>
      <color rgb="FFFFFFFF"/>
      <name val="Arial"/>
      <family val="2"/>
    </font>
    <font>
      <sz val="11"/>
      <name val="Arial"/>
      <family val="2"/>
    </font>
    <font>
      <i/>
      <sz val="9"/>
      <name val="Arial"/>
      <family val="2"/>
    </font>
    <font>
      <b/>
      <sz val="12"/>
      <name val="Arial"/>
      <family val="2"/>
    </font>
    <font>
      <sz val="10"/>
      <name val="Arial"/>
      <family val="2"/>
    </font>
  </fonts>
  <fills count="6">
    <fill>
      <patternFill patternType="none"/>
    </fill>
    <fill>
      <patternFill patternType="gray125"/>
    </fill>
    <fill>
      <patternFill patternType="solid">
        <fgColor rgb="FF1F4E79"/>
        <bgColor rgb="FF003366"/>
      </patternFill>
    </fill>
    <fill>
      <patternFill patternType="solid">
        <fgColor rgb="FFDCE6F1"/>
        <bgColor rgb="FFE2EFDA"/>
      </patternFill>
    </fill>
    <fill>
      <patternFill patternType="solid">
        <fgColor rgb="FFFFF2CC"/>
        <bgColor rgb="FFE2EFDA"/>
      </patternFill>
    </fill>
    <fill>
      <patternFill patternType="solid">
        <fgColor rgb="FFE2EFDA"/>
        <bgColor rgb="FFDCE6F1"/>
      </patternFill>
    </fill>
  </fills>
  <borders count="3">
    <border>
      <left/>
      <right/>
      <top/>
      <bottom/>
      <diagonal/>
    </border>
    <border>
      <left/>
      <right/>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6">
    <xf numFmtId="0" fontId="0" fillId="0" borderId="0" xfId="0"/>
    <xf numFmtId="0" fontId="7" fillId="0" borderId="0" xfId="0" applyFont="1" applyAlignment="1">
      <alignment vertical="top" wrapText="1"/>
    </xf>
    <xf numFmtId="0" fontId="6" fillId="0" borderId="0" xfId="0" applyFont="1"/>
    <xf numFmtId="0" fontId="5" fillId="0" borderId="0" xfId="0" applyFont="1" applyAlignment="1">
      <alignment vertical="top" wrapText="1"/>
    </xf>
    <xf numFmtId="0" fontId="2" fillId="3" borderId="2" xfId="0" applyFont="1" applyFill="1" applyBorder="1" applyAlignment="1">
      <alignment horizontal="left" vertical="center"/>
    </xf>
    <xf numFmtId="0" fontId="0" fillId="0" borderId="1" xfId="0" applyBorder="1"/>
    <xf numFmtId="0" fontId="1" fillId="0" borderId="0" xfId="0" applyFont="1"/>
    <xf numFmtId="0" fontId="2" fillId="0" borderId="0" xfId="0" applyFont="1"/>
    <xf numFmtId="0" fontId="3" fillId="2" borderId="2" xfId="0" applyFont="1" applyFill="1" applyBorder="1" applyAlignment="1">
      <alignment horizontal="center" vertical="center" wrapText="1"/>
    </xf>
    <xf numFmtId="0" fontId="2" fillId="0" borderId="2" xfId="0" applyFont="1" applyBorder="1" applyAlignment="1">
      <alignment vertical="top" wrapText="1"/>
    </xf>
    <xf numFmtId="164" fontId="4" fillId="0" borderId="2" xfId="0" applyNumberFormat="1" applyFont="1" applyBorder="1" applyAlignment="1">
      <alignment horizontal="center" vertical="center" wrapText="1"/>
    </xf>
    <xf numFmtId="0" fontId="4" fillId="0" borderId="2" xfId="0" applyFont="1" applyBorder="1" applyAlignment="1">
      <alignment horizontal="center" vertical="center" wrapText="1"/>
    </xf>
    <xf numFmtId="0" fontId="4" fillId="0" borderId="2" xfId="0" applyFont="1" applyBorder="1" applyAlignment="1">
      <alignment vertical="top" wrapText="1"/>
    </xf>
    <xf numFmtId="0" fontId="4" fillId="4" borderId="2" xfId="0" applyFont="1" applyFill="1" applyBorder="1" applyAlignment="1">
      <alignment horizontal="center" vertical="center" wrapText="1"/>
    </xf>
    <xf numFmtId="0" fontId="2" fillId="0" borderId="2" xfId="0" applyFont="1" applyBorder="1"/>
    <xf numFmtId="164" fontId="2" fillId="5" borderId="2" xfId="0" applyNumberFormat="1" applyFont="1" applyFill="1" applyBorder="1"/>
    <xf numFmtId="0" fontId="0" fillId="0" borderId="2" xfId="0" applyBorder="1"/>
    <xf numFmtId="0" fontId="2" fillId="0" borderId="2" xfId="0" applyFont="1" applyBorder="1" applyAlignment="1">
      <alignment horizontal="right" vertical="center"/>
    </xf>
    <xf numFmtId="164" fontId="2" fillId="5" borderId="2" xfId="0" applyNumberFormat="1" applyFont="1" applyFill="1" applyBorder="1" applyAlignment="1">
      <alignment horizontal="center" vertical="center"/>
    </xf>
    <xf numFmtId="0" fontId="2" fillId="0" borderId="0" xfId="0" applyFont="1" applyAlignment="1">
      <alignment horizontal="right" vertical="center"/>
    </xf>
    <xf numFmtId="2" fontId="2" fillId="5" borderId="2" xfId="0" applyNumberFormat="1" applyFont="1" applyFill="1" applyBorder="1" applyAlignment="1">
      <alignment horizontal="center" vertical="center"/>
    </xf>
    <xf numFmtId="165" fontId="2" fillId="5" borderId="2" xfId="0" applyNumberFormat="1" applyFont="1" applyFill="1" applyBorder="1" applyAlignment="1">
      <alignment horizontal="center" vertical="center"/>
    </xf>
    <xf numFmtId="0" fontId="2" fillId="5" borderId="2" xfId="0" applyFont="1" applyFill="1" applyBorder="1" applyAlignment="1">
      <alignment horizontal="center" vertical="center"/>
    </xf>
    <xf numFmtId="165" fontId="7" fillId="4" borderId="2" xfId="0" applyNumberFormat="1" applyFont="1" applyFill="1" applyBorder="1" applyAlignment="1">
      <alignment horizontal="center" vertical="center"/>
    </xf>
    <xf numFmtId="164" fontId="7" fillId="0" borderId="2" xfId="0" applyNumberFormat="1" applyFont="1" applyBorder="1" applyAlignment="1">
      <alignment horizontal="center" vertical="center"/>
    </xf>
    <xf numFmtId="0" fontId="7" fillId="0" borderId="2" xfId="0" applyFont="1" applyBorder="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3"/>
  <sheetViews>
    <sheetView tabSelected="1" zoomScaleNormal="100" workbookViewId="0">
      <selection activeCell="D10" sqref="D10"/>
    </sheetView>
  </sheetViews>
  <sheetFormatPr baseColWidth="10" defaultColWidth="8.6640625" defaultRowHeight="15" x14ac:dyDescent="0.2"/>
  <cols>
    <col min="1" max="1" width="26" customWidth="1"/>
    <col min="2" max="2" width="9" customWidth="1"/>
    <col min="3" max="3" width="11" customWidth="1"/>
    <col min="4" max="4" width="40" customWidth="1"/>
    <col min="5" max="6" width="34" customWidth="1"/>
    <col min="7" max="7" width="26" customWidth="1"/>
    <col min="8" max="8" width="11" customWidth="1"/>
    <col min="9" max="9" width="20" customWidth="1"/>
    <col min="10" max="10" width="40" customWidth="1"/>
  </cols>
  <sheetData>
    <row r="1" spans="1:10" ht="18" customHeight="1" x14ac:dyDescent="0.2">
      <c r="A1" s="6" t="s">
        <v>0</v>
      </c>
      <c r="B1" s="6"/>
      <c r="C1" s="6"/>
      <c r="D1" s="6"/>
      <c r="E1" s="6"/>
      <c r="F1" s="6"/>
      <c r="G1" s="6"/>
      <c r="H1" s="6"/>
      <c r="I1" s="6"/>
      <c r="J1" s="6"/>
    </row>
    <row r="3" spans="1:10" x14ac:dyDescent="0.2">
      <c r="A3" s="7" t="s">
        <v>74</v>
      </c>
      <c r="C3" s="5"/>
      <c r="D3" s="5"/>
      <c r="E3" s="5"/>
      <c r="F3" s="5"/>
    </row>
    <row r="4" spans="1:10" x14ac:dyDescent="0.2">
      <c r="A4" s="7" t="s">
        <v>75</v>
      </c>
      <c r="C4" s="5"/>
      <c r="D4" s="5"/>
      <c r="E4" s="5"/>
      <c r="F4" s="5"/>
    </row>
    <row r="5" spans="1:10" x14ac:dyDescent="0.2">
      <c r="A5" s="7" t="s">
        <v>1</v>
      </c>
      <c r="C5" s="5"/>
      <c r="D5" s="5"/>
      <c r="E5" s="5"/>
      <c r="F5" s="5"/>
    </row>
    <row r="7" spans="1:10" ht="45" customHeight="1" x14ac:dyDescent="0.2">
      <c r="A7" s="8" t="s">
        <v>2</v>
      </c>
      <c r="B7" s="8" t="s">
        <v>3</v>
      </c>
      <c r="C7" s="8" t="s">
        <v>4</v>
      </c>
      <c r="D7" s="8" t="s">
        <v>5</v>
      </c>
      <c r="E7" s="8" t="s">
        <v>6</v>
      </c>
      <c r="F7" s="8" t="s">
        <v>7</v>
      </c>
      <c r="G7" s="8" t="s">
        <v>8</v>
      </c>
      <c r="H7" s="8" t="s">
        <v>9</v>
      </c>
      <c r="I7" s="8" t="s">
        <v>10</v>
      </c>
      <c r="J7" s="8" t="s">
        <v>11</v>
      </c>
    </row>
    <row r="8" spans="1:10" ht="19.5" customHeight="1" x14ac:dyDescent="0.2">
      <c r="A8" s="4" t="s">
        <v>12</v>
      </c>
      <c r="B8" s="4"/>
      <c r="C8" s="4"/>
      <c r="D8" s="4"/>
      <c r="E8" s="4"/>
      <c r="F8" s="4"/>
      <c r="G8" s="4"/>
      <c r="H8" s="4"/>
      <c r="I8" s="4"/>
      <c r="J8" s="4"/>
    </row>
    <row r="9" spans="1:10" ht="150" customHeight="1" x14ac:dyDescent="0.2">
      <c r="A9" s="9" t="s">
        <v>13</v>
      </c>
      <c r="B9" s="10">
        <v>0.18</v>
      </c>
      <c r="C9" s="11" t="s">
        <v>14</v>
      </c>
      <c r="D9" s="12" t="s">
        <v>15</v>
      </c>
      <c r="E9" s="12" t="s">
        <v>16</v>
      </c>
      <c r="F9" s="12" t="s">
        <v>17</v>
      </c>
      <c r="G9" s="12" t="s">
        <v>18</v>
      </c>
      <c r="H9" s="13"/>
      <c r="I9" s="10" t="str">
        <f>IF(H9="","",B9*H9/6)</f>
        <v/>
      </c>
      <c r="J9" s="12"/>
    </row>
    <row r="10" spans="1:10" ht="150" customHeight="1" x14ac:dyDescent="0.2">
      <c r="A10" s="9" t="s">
        <v>19</v>
      </c>
      <c r="B10" s="10">
        <v>0.15</v>
      </c>
      <c r="C10" s="11" t="s">
        <v>20</v>
      </c>
      <c r="D10" s="12" t="s">
        <v>21</v>
      </c>
      <c r="E10" s="12" t="s">
        <v>22</v>
      </c>
      <c r="F10" s="12" t="s">
        <v>23</v>
      </c>
      <c r="G10" s="12" t="s">
        <v>24</v>
      </c>
      <c r="H10" s="13"/>
      <c r="I10" s="10" t="str">
        <f>IF(H10="","",B10*H10/6)</f>
        <v/>
      </c>
      <c r="J10" s="12"/>
    </row>
    <row r="11" spans="1:10" ht="150" customHeight="1" x14ac:dyDescent="0.2">
      <c r="A11" s="9" t="s">
        <v>25</v>
      </c>
      <c r="B11" s="10">
        <v>0.15</v>
      </c>
      <c r="C11" s="11" t="s">
        <v>14</v>
      </c>
      <c r="D11" s="12" t="s">
        <v>26</v>
      </c>
      <c r="E11" s="12" t="s">
        <v>27</v>
      </c>
      <c r="F11" s="12" t="s">
        <v>28</v>
      </c>
      <c r="G11" s="12" t="s">
        <v>29</v>
      </c>
      <c r="H11" s="13"/>
      <c r="I11" s="10" t="str">
        <f>IF(H11="","",B11*H11/6)</f>
        <v/>
      </c>
      <c r="J11" s="12"/>
    </row>
    <row r="12" spans="1:10" ht="150" customHeight="1" x14ac:dyDescent="0.2">
      <c r="A12" s="9" t="s">
        <v>30</v>
      </c>
      <c r="B12" s="10">
        <v>0.12</v>
      </c>
      <c r="C12" s="11" t="s">
        <v>20</v>
      </c>
      <c r="D12" s="12" t="s">
        <v>31</v>
      </c>
      <c r="E12" s="12" t="s">
        <v>32</v>
      </c>
      <c r="F12" s="12" t="s">
        <v>33</v>
      </c>
      <c r="G12" s="12" t="s">
        <v>34</v>
      </c>
      <c r="H12" s="13"/>
      <c r="I12" s="10" t="str">
        <f>IF(H12="","",B12*H12/6)</f>
        <v/>
      </c>
      <c r="J12" s="12"/>
    </row>
    <row r="13" spans="1:10" ht="19.5" customHeight="1" x14ac:dyDescent="0.2">
      <c r="A13" s="4" t="s">
        <v>35</v>
      </c>
      <c r="B13" s="4"/>
      <c r="C13" s="4"/>
      <c r="D13" s="4"/>
      <c r="E13" s="4"/>
      <c r="F13" s="4"/>
      <c r="G13" s="4"/>
      <c r="H13" s="4"/>
      <c r="I13" s="4"/>
      <c r="J13" s="4"/>
    </row>
    <row r="14" spans="1:10" ht="150" customHeight="1" x14ac:dyDescent="0.2">
      <c r="A14" s="9" t="s">
        <v>36</v>
      </c>
      <c r="B14" s="10">
        <v>0.12</v>
      </c>
      <c r="C14" s="11" t="s">
        <v>20</v>
      </c>
      <c r="D14" s="12" t="s">
        <v>37</v>
      </c>
      <c r="E14" s="12" t="s">
        <v>38</v>
      </c>
      <c r="F14" s="12" t="s">
        <v>39</v>
      </c>
      <c r="G14" s="12" t="s">
        <v>40</v>
      </c>
      <c r="H14" s="13"/>
      <c r="I14" s="10" t="str">
        <f>IF(H14="","",B14*H14/6)</f>
        <v/>
      </c>
      <c r="J14" s="12"/>
    </row>
    <row r="15" spans="1:10" ht="150" customHeight="1" x14ac:dyDescent="0.2">
      <c r="A15" s="9" t="s">
        <v>41</v>
      </c>
      <c r="B15" s="10">
        <v>0.14000000000000001</v>
      </c>
      <c r="C15" s="11" t="s">
        <v>20</v>
      </c>
      <c r="D15" s="12" t="s">
        <v>42</v>
      </c>
      <c r="E15" s="12" t="s">
        <v>43</v>
      </c>
      <c r="F15" s="12" t="s">
        <v>44</v>
      </c>
      <c r="G15" s="12" t="s">
        <v>45</v>
      </c>
      <c r="H15" s="13"/>
      <c r="I15" s="10" t="str">
        <f>IF(H15="","",B15*H15/6)</f>
        <v/>
      </c>
      <c r="J15" s="12"/>
    </row>
    <row r="16" spans="1:10" ht="150" customHeight="1" x14ac:dyDescent="0.2">
      <c r="A16" s="9" t="s">
        <v>46</v>
      </c>
      <c r="B16" s="10">
        <v>0.08</v>
      </c>
      <c r="C16" s="11" t="s">
        <v>20</v>
      </c>
      <c r="D16" s="12" t="s">
        <v>47</v>
      </c>
      <c r="E16" s="12" t="s">
        <v>48</v>
      </c>
      <c r="F16" s="12" t="s">
        <v>49</v>
      </c>
      <c r="G16" s="12" t="s">
        <v>50</v>
      </c>
      <c r="H16" s="13"/>
      <c r="I16" s="10" t="str">
        <f>IF(H16="","",B16*H16/6)</f>
        <v/>
      </c>
      <c r="J16" s="12"/>
    </row>
    <row r="17" spans="1:10" ht="150" customHeight="1" x14ac:dyDescent="0.2">
      <c r="A17" s="9" t="s">
        <v>51</v>
      </c>
      <c r="B17" s="10">
        <v>0.06</v>
      </c>
      <c r="C17" s="11" t="s">
        <v>20</v>
      </c>
      <c r="D17" s="12" t="s">
        <v>52</v>
      </c>
      <c r="E17" s="12" t="s">
        <v>53</v>
      </c>
      <c r="F17" s="12" t="s">
        <v>54</v>
      </c>
      <c r="G17" s="12" t="s">
        <v>55</v>
      </c>
      <c r="H17" s="13"/>
      <c r="I17" s="10" t="str">
        <f>IF(H17="","",B17*H17/6)</f>
        <v/>
      </c>
      <c r="J17" s="12"/>
    </row>
    <row r="18" spans="1:10" ht="22.5" customHeight="1" x14ac:dyDescent="0.2">
      <c r="A18" s="14" t="s">
        <v>56</v>
      </c>
      <c r="B18" s="15">
        <f>SUM(B9:B17)</f>
        <v>1</v>
      </c>
      <c r="C18" s="16"/>
      <c r="D18" s="16"/>
      <c r="E18" s="16"/>
      <c r="F18" s="16"/>
      <c r="G18" s="16"/>
      <c r="H18" s="17" t="s">
        <v>57</v>
      </c>
      <c r="I18" s="18">
        <f>SUM(I9:I17)</f>
        <v>0</v>
      </c>
      <c r="J18" s="16"/>
    </row>
    <row r="19" spans="1:10" ht="22.5" customHeight="1" x14ac:dyDescent="0.2">
      <c r="H19" s="19" t="s">
        <v>58</v>
      </c>
      <c r="I19" s="20">
        <f>I18*6</f>
        <v>0</v>
      </c>
    </row>
    <row r="20" spans="1:10" ht="22.5" customHeight="1" x14ac:dyDescent="0.2">
      <c r="H20" s="19" t="s">
        <v>59</v>
      </c>
      <c r="I20" s="21">
        <f>LOOKUP(I19,'Grade Key'!$A$3:$A$13,'Grade Key'!$B$3:$B$13)</f>
        <v>5</v>
      </c>
    </row>
    <row r="21" spans="1:10" ht="22.5" customHeight="1" x14ac:dyDescent="0.2">
      <c r="H21" s="19" t="s">
        <v>60</v>
      </c>
      <c r="I21" s="22" t="str">
        <f>LOOKUP(I19,'Grade Key'!$A$3:$A$13,'Grade Key'!$E$3:$E$13)</f>
        <v>avg &lt; 2,8</v>
      </c>
    </row>
    <row r="23" spans="1:10" ht="42" customHeight="1" x14ac:dyDescent="0.2">
      <c r="A23" s="3" t="s">
        <v>61</v>
      </c>
      <c r="B23" s="3"/>
      <c r="C23" s="3"/>
      <c r="D23" s="3"/>
      <c r="E23" s="3"/>
      <c r="F23" s="3"/>
      <c r="G23" s="3"/>
      <c r="H23" s="3"/>
      <c r="I23" s="3"/>
      <c r="J23" s="3"/>
    </row>
  </sheetData>
  <mergeCells count="7">
    <mergeCell ref="A8:J8"/>
    <mergeCell ref="A13:J13"/>
    <mergeCell ref="A23:J23"/>
    <mergeCell ref="A1:J1"/>
    <mergeCell ref="C3:F3"/>
    <mergeCell ref="C4:F4"/>
    <mergeCell ref="C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7"/>
  <sheetViews>
    <sheetView zoomScaleNormal="100" workbookViewId="0"/>
  </sheetViews>
  <sheetFormatPr baseColWidth="10" defaultColWidth="8.6640625" defaultRowHeight="15" x14ac:dyDescent="0.2"/>
  <cols>
    <col min="1" max="1" width="22" customWidth="1"/>
    <col min="2" max="2" width="8" customWidth="1"/>
    <col min="3" max="3" width="22" customWidth="1"/>
    <col min="4" max="4" width="26" customWidth="1"/>
    <col min="5" max="5" width="20" customWidth="1"/>
  </cols>
  <sheetData>
    <row r="1" spans="1:5" ht="16" x14ac:dyDescent="0.2">
      <c r="A1" s="2" t="s">
        <v>62</v>
      </c>
      <c r="B1" s="2"/>
      <c r="C1" s="2"/>
      <c r="D1" s="2"/>
    </row>
    <row r="2" spans="1:5" ht="30" customHeight="1" x14ac:dyDescent="0.2">
      <c r="A2" s="8" t="s">
        <v>63</v>
      </c>
      <c r="B2" s="8" t="s">
        <v>64</v>
      </c>
      <c r="C2" s="8" t="s">
        <v>65</v>
      </c>
      <c r="D2" s="8" t="s">
        <v>66</v>
      </c>
      <c r="E2" s="8" t="s">
        <v>67</v>
      </c>
    </row>
    <row r="3" spans="1:5" x14ac:dyDescent="0.2">
      <c r="A3" s="23">
        <v>0</v>
      </c>
      <c r="B3" s="23">
        <v>5</v>
      </c>
      <c r="C3" s="24">
        <f t="shared" ref="C3:C13" si="0">A3/6</f>
        <v>0</v>
      </c>
      <c r="D3" s="25" t="s">
        <v>68</v>
      </c>
      <c r="E3" s="25" t="str">
        <f>"avg &lt; "&amp;A4</f>
        <v>avg &lt; 2,8</v>
      </c>
    </row>
    <row r="4" spans="1:5" x14ac:dyDescent="0.2">
      <c r="A4" s="23">
        <v>2.8</v>
      </c>
      <c r="B4" s="23">
        <v>4</v>
      </c>
      <c r="C4" s="24">
        <f t="shared" si="0"/>
        <v>0.46666666666666662</v>
      </c>
      <c r="D4" s="25" t="s">
        <v>69</v>
      </c>
      <c r="E4" s="25" t="str">
        <f t="shared" ref="E4:E12" si="1">"avg ≥ "&amp;A4&amp;" and &lt; "&amp;A5</f>
        <v>avg ≥ 2,8 and &lt; 3,1</v>
      </c>
    </row>
    <row r="5" spans="1:5" x14ac:dyDescent="0.2">
      <c r="A5" s="23">
        <v>3.1</v>
      </c>
      <c r="B5" s="23">
        <v>3.7</v>
      </c>
      <c r="C5" s="24">
        <f t="shared" si="0"/>
        <v>0.51666666666666672</v>
      </c>
      <c r="D5" s="25" t="s">
        <v>69</v>
      </c>
      <c r="E5" s="25" t="str">
        <f t="shared" si="1"/>
        <v>avg ≥ 3,1 and &lt; 3,4</v>
      </c>
    </row>
    <row r="6" spans="1:5" x14ac:dyDescent="0.2">
      <c r="A6" s="23">
        <v>3.4</v>
      </c>
      <c r="B6" s="23">
        <v>3.3</v>
      </c>
      <c r="C6" s="24">
        <f t="shared" si="0"/>
        <v>0.56666666666666665</v>
      </c>
      <c r="D6" s="25" t="s">
        <v>70</v>
      </c>
      <c r="E6" s="25" t="str">
        <f t="shared" si="1"/>
        <v>avg ≥ 3,4 and &lt; 3,7</v>
      </c>
    </row>
    <row r="7" spans="1:5" x14ac:dyDescent="0.2">
      <c r="A7" s="23">
        <v>3.7</v>
      </c>
      <c r="B7" s="23">
        <v>3</v>
      </c>
      <c r="C7" s="24">
        <f t="shared" si="0"/>
        <v>0.6166666666666667</v>
      </c>
      <c r="D7" s="25" t="s">
        <v>70</v>
      </c>
      <c r="E7" s="25" t="str">
        <f t="shared" si="1"/>
        <v>avg ≥ 3,7 and &lt; 4</v>
      </c>
    </row>
    <row r="8" spans="1:5" x14ac:dyDescent="0.2">
      <c r="A8" s="23">
        <v>4</v>
      </c>
      <c r="B8" s="23">
        <v>2.7</v>
      </c>
      <c r="C8" s="24">
        <f t="shared" si="0"/>
        <v>0.66666666666666663</v>
      </c>
      <c r="D8" s="25" t="s">
        <v>70</v>
      </c>
      <c r="E8" s="25" t="str">
        <f t="shared" si="1"/>
        <v>avg ≥ 4 and &lt; 4,3</v>
      </c>
    </row>
    <row r="9" spans="1:5" x14ac:dyDescent="0.2">
      <c r="A9" s="23">
        <v>4.3</v>
      </c>
      <c r="B9" s="23">
        <v>2.2999999999999998</v>
      </c>
      <c r="C9" s="24">
        <f t="shared" si="0"/>
        <v>0.71666666666666667</v>
      </c>
      <c r="D9" s="25" t="s">
        <v>71</v>
      </c>
      <c r="E9" s="25" t="str">
        <f t="shared" si="1"/>
        <v>avg ≥ 4,3 and &lt; 4,6</v>
      </c>
    </row>
    <row r="10" spans="1:5" x14ac:dyDescent="0.2">
      <c r="A10" s="23">
        <v>4.5999999999999996</v>
      </c>
      <c r="B10" s="23">
        <v>2</v>
      </c>
      <c r="C10" s="24">
        <f t="shared" si="0"/>
        <v>0.76666666666666661</v>
      </c>
      <c r="D10" s="25" t="s">
        <v>71</v>
      </c>
      <c r="E10" s="25" t="str">
        <f t="shared" si="1"/>
        <v>avg ≥ 4,6 and &lt; 4,9</v>
      </c>
    </row>
    <row r="11" spans="1:5" x14ac:dyDescent="0.2">
      <c r="A11" s="23">
        <v>4.9000000000000004</v>
      </c>
      <c r="B11" s="23">
        <v>1.7</v>
      </c>
      <c r="C11" s="24">
        <f t="shared" si="0"/>
        <v>0.81666666666666676</v>
      </c>
      <c r="D11" s="25" t="s">
        <v>71</v>
      </c>
      <c r="E11" s="25" t="str">
        <f t="shared" si="1"/>
        <v>avg ≥ 4,9 and &lt; 5,2</v>
      </c>
    </row>
    <row r="12" spans="1:5" x14ac:dyDescent="0.2">
      <c r="A12" s="23">
        <v>5.2</v>
      </c>
      <c r="B12" s="23">
        <v>1.3</v>
      </c>
      <c r="C12" s="24">
        <f t="shared" si="0"/>
        <v>0.8666666666666667</v>
      </c>
      <c r="D12" s="25" t="s">
        <v>72</v>
      </c>
      <c r="E12" s="25" t="str">
        <f t="shared" si="1"/>
        <v>avg ≥ 5,2 and &lt; 5,5</v>
      </c>
    </row>
    <row r="13" spans="1:5" x14ac:dyDescent="0.2">
      <c r="A13" s="23">
        <v>5.5</v>
      </c>
      <c r="B13" s="23">
        <v>1</v>
      </c>
      <c r="C13" s="24">
        <f t="shared" si="0"/>
        <v>0.91666666666666663</v>
      </c>
      <c r="D13" s="25" t="s">
        <v>72</v>
      </c>
      <c r="E13" s="25" t="str">
        <f>"avg ≥ "&amp;A13</f>
        <v>avg ≥ 5,5</v>
      </c>
    </row>
    <row r="15" spans="1:5" ht="15" customHeight="1" x14ac:dyDescent="0.2">
      <c r="A15" s="1" t="s">
        <v>73</v>
      </c>
      <c r="B15" s="1"/>
      <c r="C15" s="1"/>
      <c r="D15" s="1"/>
    </row>
    <row r="16" spans="1:5" x14ac:dyDescent="0.2">
      <c r="A16" s="1"/>
      <c r="B16" s="1"/>
      <c r="C16" s="1"/>
      <c r="D16" s="1"/>
    </row>
    <row r="17" spans="1:4" x14ac:dyDescent="0.2">
      <c r="A17" s="1"/>
      <c r="B17" s="1"/>
      <c r="C17" s="1"/>
      <c r="D17" s="1"/>
    </row>
  </sheetData>
  <mergeCells count="2">
    <mergeCell ref="A1:D1"/>
    <mergeCell ref="A15:D17"/>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Rubric</vt:lpstr>
      <vt:lpstr>Grade Key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Richard Sieg (rsieg1)</cp:lastModifiedBy>
  <cp:revision>0</cp:revision>
  <dcterms:created xsi:type="dcterms:W3CDTF">2026-09-25T15:10:57Z</dcterms:created>
  <dcterms:modified xsi:type="dcterms:W3CDTF">2026-09-25T15:15:32Z</dcterms:modified>
  <dc:language>en-US</dc:language>
</cp:coreProperties>
</file>